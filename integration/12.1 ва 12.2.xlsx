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F103" i="1"/>
  <c r="G103" s="1"/>
  <c r="H103" s="1"/>
  <c r="E103"/>
  <c r="D103"/>
  <c r="F5"/>
  <c r="G5" s="1"/>
  <c r="H5" s="1"/>
  <c r="F6"/>
  <c r="G6" s="1"/>
  <c r="H6" s="1"/>
  <c r="F7"/>
  <c r="G7" s="1"/>
  <c r="H7" s="1"/>
  <c r="F3"/>
  <c r="G3" s="1"/>
  <c r="H3" s="1"/>
  <c r="F19"/>
  <c r="G19" s="1"/>
  <c r="H19" s="1"/>
  <c r="F20"/>
  <c r="G20" s="1"/>
  <c r="H20" s="1"/>
  <c r="F21"/>
  <c r="G21" s="1"/>
  <c r="H21" s="1"/>
  <c r="F22"/>
  <c r="G22" s="1"/>
  <c r="H22" s="1"/>
  <c r="F23"/>
  <c r="G23" s="1"/>
  <c r="H23" s="1"/>
  <c r="F24"/>
  <c r="G24" s="1"/>
  <c r="H24" s="1"/>
  <c r="F25"/>
  <c r="G25" s="1"/>
  <c r="H25" s="1"/>
  <c r="F26"/>
  <c r="G26" s="1"/>
  <c r="H26" s="1"/>
  <c r="F27"/>
  <c r="G27" s="1"/>
  <c r="H27" s="1"/>
  <c r="F28"/>
  <c r="G28" s="1"/>
  <c r="H28" s="1"/>
  <c r="F29"/>
  <c r="G29" s="1"/>
  <c r="H29" s="1"/>
  <c r="F30"/>
  <c r="G30" s="1"/>
  <c r="H30" s="1"/>
  <c r="F31"/>
  <c r="G31" s="1"/>
  <c r="H31" s="1"/>
  <c r="F32"/>
  <c r="G32" s="1"/>
  <c r="H32" s="1"/>
  <c r="F33"/>
  <c r="G33" s="1"/>
  <c r="H33" s="1"/>
  <c r="F34"/>
  <c r="G34" s="1"/>
  <c r="H34" s="1"/>
  <c r="F35"/>
  <c r="G35" s="1"/>
  <c r="H35" s="1"/>
  <c r="F36"/>
  <c r="G36" s="1"/>
  <c r="H36" s="1"/>
  <c r="F37"/>
  <c r="G37" s="1"/>
  <c r="H37" s="1"/>
  <c r="F38"/>
  <c r="G38" s="1"/>
  <c r="H38" s="1"/>
  <c r="F39"/>
  <c r="G39" s="1"/>
  <c r="H39" s="1"/>
  <c r="F40"/>
  <c r="G40" s="1"/>
  <c r="H40" s="1"/>
  <c r="F41"/>
  <c r="G41" s="1"/>
  <c r="H41" s="1"/>
  <c r="F42"/>
  <c r="G42" s="1"/>
  <c r="H42" s="1"/>
  <c r="F43"/>
  <c r="G43" s="1"/>
  <c r="H43" s="1"/>
  <c r="F44"/>
  <c r="G44" s="1"/>
  <c r="H44" s="1"/>
  <c r="F45"/>
  <c r="G45" s="1"/>
  <c r="H45" s="1"/>
  <c r="F46"/>
  <c r="G46" s="1"/>
  <c r="H46" s="1"/>
  <c r="F47"/>
  <c r="G47" s="1"/>
  <c r="H47" s="1"/>
  <c r="F48"/>
  <c r="G48" s="1"/>
  <c r="H48" s="1"/>
  <c r="F49"/>
  <c r="G49" s="1"/>
  <c r="H49" s="1"/>
  <c r="F50"/>
  <c r="G50" s="1"/>
  <c r="H50" s="1"/>
  <c r="F51"/>
  <c r="G51" s="1"/>
  <c r="H51" s="1"/>
  <c r="F52"/>
  <c r="G52" s="1"/>
  <c r="H52" s="1"/>
  <c r="F53"/>
  <c r="G53" s="1"/>
  <c r="H53" s="1"/>
  <c r="F54"/>
  <c r="G54" s="1"/>
  <c r="H54" s="1"/>
  <c r="F55"/>
  <c r="G55" s="1"/>
  <c r="H55" s="1"/>
  <c r="F56"/>
  <c r="G56" s="1"/>
  <c r="H56" s="1"/>
  <c r="F57"/>
  <c r="G57" s="1"/>
  <c r="H57" s="1"/>
  <c r="F58"/>
  <c r="G58" s="1"/>
  <c r="H58" s="1"/>
  <c r="F59"/>
  <c r="G59" s="1"/>
  <c r="H59" s="1"/>
  <c r="F60"/>
  <c r="G60" s="1"/>
  <c r="H60" s="1"/>
  <c r="F61"/>
  <c r="G61" s="1"/>
  <c r="H61" s="1"/>
  <c r="F62"/>
  <c r="G62" s="1"/>
  <c r="H62" s="1"/>
  <c r="F63"/>
  <c r="G63" s="1"/>
  <c r="H63" s="1"/>
  <c r="F64"/>
  <c r="G64" s="1"/>
  <c r="H64" s="1"/>
  <c r="F65"/>
  <c r="G65" s="1"/>
  <c r="H65" s="1"/>
  <c r="F66"/>
  <c r="G66" s="1"/>
  <c r="H66" s="1"/>
  <c r="F67"/>
  <c r="G67" s="1"/>
  <c r="H67" s="1"/>
  <c r="F68"/>
  <c r="G68" s="1"/>
  <c r="H68" s="1"/>
  <c r="F69"/>
  <c r="G69" s="1"/>
  <c r="H69" s="1"/>
  <c r="F70"/>
  <c r="G70" s="1"/>
  <c r="H70" s="1"/>
  <c r="F71"/>
  <c r="G71" s="1"/>
  <c r="H71" s="1"/>
  <c r="F72"/>
  <c r="G72" s="1"/>
  <c r="H72" s="1"/>
  <c r="F73"/>
  <c r="G73" s="1"/>
  <c r="H73" s="1"/>
  <c r="F74"/>
  <c r="G74" s="1"/>
  <c r="H74" s="1"/>
  <c r="F75"/>
  <c r="G75" s="1"/>
  <c r="H75" s="1"/>
  <c r="F76"/>
  <c r="G76" s="1"/>
  <c r="H76" s="1"/>
  <c r="F77"/>
  <c r="G77" s="1"/>
  <c r="H77" s="1"/>
  <c r="F78"/>
  <c r="G78" s="1"/>
  <c r="H78" s="1"/>
  <c r="F79"/>
  <c r="G79" s="1"/>
  <c r="H79" s="1"/>
  <c r="F80"/>
  <c r="G80" s="1"/>
  <c r="H80" s="1"/>
  <c r="F81"/>
  <c r="G81" s="1"/>
  <c r="H81" s="1"/>
  <c r="F82"/>
  <c r="G82" s="1"/>
  <c r="H82" s="1"/>
  <c r="F83"/>
  <c r="G83" s="1"/>
  <c r="H83" s="1"/>
  <c r="F84"/>
  <c r="G84" s="1"/>
  <c r="H84" s="1"/>
  <c r="F85"/>
  <c r="G85" s="1"/>
  <c r="H85" s="1"/>
  <c r="F86"/>
  <c r="G86" s="1"/>
  <c r="H86" s="1"/>
  <c r="F87"/>
  <c r="G87" s="1"/>
  <c r="H87" s="1"/>
  <c r="F88"/>
  <c r="G88" s="1"/>
  <c r="H88" s="1"/>
  <c r="F89"/>
  <c r="G89" s="1"/>
  <c r="H89" s="1"/>
  <c r="F90"/>
  <c r="G90" s="1"/>
  <c r="H90" s="1"/>
  <c r="F91"/>
  <c r="G91" s="1"/>
  <c r="H91" s="1"/>
  <c r="F92"/>
  <c r="G92" s="1"/>
  <c r="H92" s="1"/>
  <c r="F93"/>
  <c r="G93" s="1"/>
  <c r="H93" s="1"/>
  <c r="F94"/>
  <c r="G94" s="1"/>
  <c r="H94" s="1"/>
  <c r="F95"/>
  <c r="G95" s="1"/>
  <c r="H95" s="1"/>
  <c r="F96"/>
  <c r="G96" s="1"/>
  <c r="H96" s="1"/>
  <c r="F97"/>
  <c r="G97" s="1"/>
  <c r="H97" s="1"/>
  <c r="F98"/>
  <c r="G98" s="1"/>
  <c r="H98" s="1"/>
  <c r="F99"/>
  <c r="G99" s="1"/>
  <c r="H99" s="1"/>
  <c r="F100"/>
  <c r="G100" s="1"/>
  <c r="H100" s="1"/>
  <c r="F101"/>
  <c r="G101" s="1"/>
  <c r="H101" s="1"/>
  <c r="F102"/>
  <c r="G102" s="1"/>
  <c r="H102" s="1"/>
  <c r="F18"/>
  <c r="G18" s="1"/>
  <c r="H18" s="1"/>
  <c r="F8"/>
  <c r="G8" s="1"/>
  <c r="H8" s="1"/>
  <c r="F9"/>
  <c r="G9" s="1"/>
  <c r="H9" s="1"/>
  <c r="F10"/>
  <c r="G10" s="1"/>
  <c r="H10" s="1"/>
  <c r="F11"/>
  <c r="G11" s="1"/>
  <c r="H11" s="1"/>
  <c r="F12"/>
  <c r="G12" s="1"/>
  <c r="H12" s="1"/>
  <c r="F13"/>
  <c r="G13" s="1"/>
  <c r="H13" s="1"/>
  <c r="F14"/>
  <c r="G14" s="1"/>
  <c r="H14" s="1"/>
  <c r="F15"/>
  <c r="G15" s="1"/>
  <c r="H15" s="1"/>
  <c r="F16"/>
  <c r="G16" s="1"/>
  <c r="H16" s="1"/>
  <c r="F17"/>
  <c r="G17" s="1"/>
  <c r="H17" s="1"/>
  <c r="F4"/>
  <c r="G4" s="1"/>
  <c r="H4" s="1"/>
</calcChain>
</file>

<file path=xl/sharedStrings.xml><?xml version="1.0" encoding="utf-8"?>
<sst xmlns="http://schemas.openxmlformats.org/spreadsheetml/2006/main" count="109" uniqueCount="109">
  <si>
    <t>4 M R N UL д.12/1 кв.1</t>
  </si>
  <si>
    <t>4 M R N UL д.12/1 кв.2</t>
  </si>
  <si>
    <t>4 M R N UL д.12/1 кв.3</t>
  </si>
  <si>
    <t>4 M R N UL д.12/1 кв.4</t>
  </si>
  <si>
    <t>4 M R N UL д.12/1 кв.5</t>
  </si>
  <si>
    <t>4 M R N UL д.12/1 кв.6</t>
  </si>
  <si>
    <t>4 M R N UL д.12/1 кв.7</t>
  </si>
  <si>
    <t>4 M R N UL д.12/1 кв.8</t>
  </si>
  <si>
    <t>4 M R N UL д.12/1 кв.9</t>
  </si>
  <si>
    <t>4 M R N UL д.12/1 кв.10</t>
  </si>
  <si>
    <t>4 M R N UL д.12/1 кв.11</t>
  </si>
  <si>
    <t>4 M R N UL д.12/1 кв.12</t>
  </si>
  <si>
    <t>4 M R N UL д.12/1 кв.13</t>
  </si>
  <si>
    <t>4 M R N UL д.12/1 кв.14</t>
  </si>
  <si>
    <t>4 M R N UL д.12/1 кв.15</t>
  </si>
  <si>
    <t>4 M R N UL д.12/1 кв.16</t>
  </si>
  <si>
    <t>4 M R N UL д.12/1 кв.17</t>
  </si>
  <si>
    <t>4 M R N UL д.12/1 кв.18</t>
  </si>
  <si>
    <t>4 M R N UL д.12/1 кв.19</t>
  </si>
  <si>
    <t>4 M R N UL д.12/1 кв.20</t>
  </si>
  <si>
    <t>4 M R N UL д.12/1 кв.21</t>
  </si>
  <si>
    <t>4 M R N UL д.12/1 кв.22</t>
  </si>
  <si>
    <t>4 M R N UL д.12/1 кв.23</t>
  </si>
  <si>
    <t>4 M R N UL д.12/1 кв.24</t>
  </si>
  <si>
    <t>4 M R N UL д.12/1 кв.25</t>
  </si>
  <si>
    <t>4 M R N UL д.12/1 кв.26</t>
  </si>
  <si>
    <t>4 M R N UL д.12/1 кв.27</t>
  </si>
  <si>
    <t>4 M R N UL д.12/1 кв.28</t>
  </si>
  <si>
    <t>4 M R N UL д.12/1 кв.29</t>
  </si>
  <si>
    <t>4 M R N UL д.12/1 кв.30</t>
  </si>
  <si>
    <t>4 M R N UL д.12/1 кв.31</t>
  </si>
  <si>
    <t>4 M R N UL д.12/1 кв.32</t>
  </si>
  <si>
    <t>4 M R N UL д.12/1 кв.33</t>
  </si>
  <si>
    <t>4 M R N UL д.12/1 кв.34</t>
  </si>
  <si>
    <t>4 M R N UL д.12/1 кв.35</t>
  </si>
  <si>
    <t>4 M R N UL д.12/1 кв.36</t>
  </si>
  <si>
    <t>4 M R N UL д.12/1 кв.37</t>
  </si>
  <si>
    <t>4 M R N UL д.12/1 кв.38</t>
  </si>
  <si>
    <t>4 M R N UL д.12/1 кв.39</t>
  </si>
  <si>
    <t>4 M R N UL д.12/1 кв.40</t>
  </si>
  <si>
    <t>4 M R N UL д.12/1 кв.41</t>
  </si>
  <si>
    <t>4 M R N UL д.12/1 кв.42</t>
  </si>
  <si>
    <t>4 M R N UL д.12/1 кв.43</t>
  </si>
  <si>
    <t>4 M R N UL д.12/1 кв.44</t>
  </si>
  <si>
    <t>4 M R N UL д.12/1 кв.45</t>
  </si>
  <si>
    <t>4 M R N UL д.12/1 кв.46</t>
  </si>
  <si>
    <t>4 M R N UL д.12/1 кв.47</t>
  </si>
  <si>
    <t>4 M R N UL д.12/1 кв.48</t>
  </si>
  <si>
    <t>4 M R N UL д.12/1 кв.49</t>
  </si>
  <si>
    <t>4 M R N UL д.12/1 кв.50</t>
  </si>
  <si>
    <t>4 M R N UL д.12/1 кв.51</t>
  </si>
  <si>
    <t>4 M R N UL д.12/1 кв.52</t>
  </si>
  <si>
    <t>4 M R N UL д.12/1 кв.53</t>
  </si>
  <si>
    <t>4 M R N UL д.12/1 кв.54</t>
  </si>
  <si>
    <t>4 M R N UL д.12/1 кв.55</t>
  </si>
  <si>
    <t>4 M R N UL д.12/1 кв.56</t>
  </si>
  <si>
    <t>4 M R N UL д.12/1 кв.57</t>
  </si>
  <si>
    <t>4 M R N UL д.12/1 кв.58</t>
  </si>
  <si>
    <t>4 M R N UL д.12/1 кв.59</t>
  </si>
  <si>
    <t>4 M R N UL д.12/1 кв.60</t>
  </si>
  <si>
    <t>4 M R N UL д.12/2 кв.1</t>
  </si>
  <si>
    <t>4 M R N UL д.12/2 кв.2</t>
  </si>
  <si>
    <t>4 M R N UL д.12/2 кв.3</t>
  </si>
  <si>
    <t>4 M R N UL д.12/2 кв.4</t>
  </si>
  <si>
    <t>4 M R N UL д.12/2 кв.5</t>
  </si>
  <si>
    <t>4 M R N UL д.12/2 кв.6</t>
  </si>
  <si>
    <t>4 M R N UL д.12/2 кв.7</t>
  </si>
  <si>
    <t>4 M R N UL д.12/2 кв.8</t>
  </si>
  <si>
    <t>4 M R N UL д.12/2 кв.9</t>
  </si>
  <si>
    <t>4 M R N UL д.12/2 кв.10</t>
  </si>
  <si>
    <t>4 M R N UL д.12/2 кв.11</t>
  </si>
  <si>
    <t>4 M R N UL д.12/2 кв.12</t>
  </si>
  <si>
    <t>4 M R N UL д.12/2 кв.13</t>
  </si>
  <si>
    <t>4 M R N UL д.12/2 кв.14</t>
  </si>
  <si>
    <t>4 M R N UL д.12/2 кв.15</t>
  </si>
  <si>
    <t>4 M R N UL д.12/2 кв.16</t>
  </si>
  <si>
    <t>4 M R N UL д.12/2 кв.17</t>
  </si>
  <si>
    <t>4 M R N UL д.12/2 кв.18</t>
  </si>
  <si>
    <t>4 M R N UL д.12/2 кв.19</t>
  </si>
  <si>
    <t>4 M R N UL д.12/2 кв.20</t>
  </si>
  <si>
    <t>4 M R N UL д.12/2 кв.21</t>
  </si>
  <si>
    <t>4 M R N UL д.12/2 кв.22</t>
  </si>
  <si>
    <t>4 M R N UL д.12/2 кв.23</t>
  </si>
  <si>
    <t>4 M R N UL д.12/2 кв.24</t>
  </si>
  <si>
    <t>4 M R N UL д.12/2 кв.25</t>
  </si>
  <si>
    <t>4 M R N UL д.12/2 кв.26</t>
  </si>
  <si>
    <t>4 M R N UL д.12/2 кв.27</t>
  </si>
  <si>
    <t>4 M R N UL д.12/2 кв.28</t>
  </si>
  <si>
    <t>4 M R N UL д.12/2 кв.29</t>
  </si>
  <si>
    <t>4 M R N UL д.12/2 кв.30</t>
  </si>
  <si>
    <t>4 M R N UL д.12/2 кв.31</t>
  </si>
  <si>
    <t>4 M R N UL д.12/2 кв.32</t>
  </si>
  <si>
    <t>4 M R N UL д.12/2 кв.33</t>
  </si>
  <si>
    <t>4 M R N UL д.12/2 кв.34</t>
  </si>
  <si>
    <t>4 M R N UL д.12/2 кв.35</t>
  </si>
  <si>
    <t>4 M R N UL д.12/2 кв.36</t>
  </si>
  <si>
    <t>4 M R N UL д.12/2 кв.37</t>
  </si>
  <si>
    <t>4 M R N UL д.12/2 кв.38</t>
  </si>
  <si>
    <t>4 M R N UL д.12/2 кв.39</t>
  </si>
  <si>
    <t>4 M R N UL д.12/2 кв.40</t>
  </si>
  <si>
    <t>№</t>
  </si>
  <si>
    <t>шартнома раками</t>
  </si>
  <si>
    <t>Манзил</t>
  </si>
  <si>
    <t>Курсатгич</t>
  </si>
  <si>
    <t>Июн ойи истеъмол тарихи</t>
  </si>
  <si>
    <t xml:space="preserve">бир ойлик </t>
  </si>
  <si>
    <t xml:space="preserve">1 кунлик </t>
  </si>
  <si>
    <t xml:space="preserve">7 кунлик </t>
  </si>
  <si>
    <t>Жами</t>
  </si>
</sst>
</file>

<file path=xl/styles.xml><?xml version="1.0" encoding="utf-8"?>
<styleSheet xmlns="http://schemas.openxmlformats.org/spreadsheetml/2006/main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181D1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topLeftCell="A49" workbookViewId="0">
      <selection activeCell="A103" sqref="A103:H103"/>
    </sheetView>
  </sheetViews>
  <sheetFormatPr defaultRowHeight="15.75"/>
  <cols>
    <col min="1" max="1" width="5" style="3" customWidth="1"/>
    <col min="2" max="2" width="10.140625" style="3" customWidth="1"/>
    <col min="3" max="3" width="26" style="1" bestFit="1" customWidth="1"/>
    <col min="4" max="5" width="13.28515625" style="12" bestFit="1" customWidth="1"/>
    <col min="6" max="6" width="11.28515625" style="12" customWidth="1"/>
    <col min="7" max="7" width="11.140625" style="13" customWidth="1"/>
    <col min="8" max="8" width="10.7109375" style="13" customWidth="1"/>
    <col min="9" max="16384" width="9.140625" style="1"/>
  </cols>
  <sheetData>
    <row r="1" spans="1:8" ht="30" customHeight="1">
      <c r="A1" s="14" t="s">
        <v>100</v>
      </c>
      <c r="B1" s="15" t="s">
        <v>101</v>
      </c>
      <c r="C1" s="14" t="s">
        <v>102</v>
      </c>
      <c r="D1" s="16" t="s">
        <v>103</v>
      </c>
      <c r="E1" s="16"/>
      <c r="F1" s="16" t="s">
        <v>104</v>
      </c>
      <c r="G1" s="16"/>
      <c r="H1" s="16"/>
    </row>
    <row r="2" spans="1:8" ht="30" customHeight="1">
      <c r="A2" s="17"/>
      <c r="B2" s="18"/>
      <c r="C2" s="17"/>
      <c r="D2" s="19">
        <v>46204</v>
      </c>
      <c r="E2" s="19">
        <v>46233</v>
      </c>
      <c r="F2" s="20" t="s">
        <v>105</v>
      </c>
      <c r="G2" s="20" t="s">
        <v>106</v>
      </c>
      <c r="H2" s="20" t="s">
        <v>107</v>
      </c>
    </row>
    <row r="3" spans="1:8">
      <c r="A3" s="5">
        <v>1</v>
      </c>
      <c r="B3" s="7">
        <v>3104732</v>
      </c>
      <c r="C3" s="4" t="s">
        <v>0</v>
      </c>
      <c r="D3" s="9">
        <v>14723</v>
      </c>
      <c r="E3" s="9">
        <v>15023</v>
      </c>
      <c r="F3" s="9">
        <f>+E3-D3</f>
        <v>300</v>
      </c>
      <c r="G3" s="10">
        <f>F3/30</f>
        <v>10</v>
      </c>
      <c r="H3" s="11">
        <f>G3*7</f>
        <v>70</v>
      </c>
    </row>
    <row r="4" spans="1:8">
      <c r="A4" s="6">
        <v>2</v>
      </c>
      <c r="B4" s="8">
        <v>3104733</v>
      </c>
      <c r="C4" s="2" t="s">
        <v>1</v>
      </c>
      <c r="D4" s="9">
        <v>36365</v>
      </c>
      <c r="E4" s="9">
        <v>36547</v>
      </c>
      <c r="F4" s="9">
        <f>+E4-D4</f>
        <v>182</v>
      </c>
      <c r="G4" s="10">
        <f>F4/30</f>
        <v>6.0666666666666664</v>
      </c>
      <c r="H4" s="11">
        <f>G4*7</f>
        <v>42.466666666666669</v>
      </c>
    </row>
    <row r="5" spans="1:8">
      <c r="A5" s="6">
        <v>3</v>
      </c>
      <c r="B5" s="8">
        <v>3104734</v>
      </c>
      <c r="C5" s="2" t="s">
        <v>2</v>
      </c>
      <c r="D5" s="9">
        <v>8548</v>
      </c>
      <c r="E5" s="9">
        <v>8628</v>
      </c>
      <c r="F5" s="9">
        <f t="shared" ref="F5:F7" si="0">+E5-D5</f>
        <v>80</v>
      </c>
      <c r="G5" s="10">
        <f t="shared" ref="G5:G7" si="1">F5/30</f>
        <v>2.6666666666666665</v>
      </c>
      <c r="H5" s="11">
        <f t="shared" ref="H5:H7" si="2">G5*7</f>
        <v>18.666666666666664</v>
      </c>
    </row>
    <row r="6" spans="1:8">
      <c r="A6" s="6">
        <v>4</v>
      </c>
      <c r="B6" s="8">
        <v>3104735</v>
      </c>
      <c r="C6" s="2" t="s">
        <v>3</v>
      </c>
      <c r="D6" s="9">
        <v>6858</v>
      </c>
      <c r="E6" s="9">
        <v>6987</v>
      </c>
      <c r="F6" s="9">
        <f t="shared" si="0"/>
        <v>129</v>
      </c>
      <c r="G6" s="10">
        <f t="shared" si="1"/>
        <v>4.3</v>
      </c>
      <c r="H6" s="11">
        <f t="shared" si="2"/>
        <v>30.099999999999998</v>
      </c>
    </row>
    <row r="7" spans="1:8">
      <c r="A7" s="6">
        <v>5</v>
      </c>
      <c r="B7" s="8">
        <v>3104736</v>
      </c>
      <c r="C7" s="2" t="s">
        <v>4</v>
      </c>
      <c r="D7" s="9">
        <v>13698</v>
      </c>
      <c r="E7" s="9">
        <v>13894</v>
      </c>
      <c r="F7" s="9">
        <f t="shared" si="0"/>
        <v>196</v>
      </c>
      <c r="G7" s="10">
        <f t="shared" si="1"/>
        <v>6.5333333333333332</v>
      </c>
      <c r="H7" s="11">
        <f t="shared" si="2"/>
        <v>45.733333333333334</v>
      </c>
    </row>
    <row r="8" spans="1:8">
      <c r="A8" s="6">
        <v>6</v>
      </c>
      <c r="B8" s="8">
        <v>3104737</v>
      </c>
      <c r="C8" s="2" t="s">
        <v>5</v>
      </c>
      <c r="D8" s="9">
        <v>13645</v>
      </c>
      <c r="E8" s="9">
        <v>13931</v>
      </c>
      <c r="F8" s="9">
        <f t="shared" ref="F8:F18" si="3">+E8-D8</f>
        <v>286</v>
      </c>
      <c r="G8" s="10">
        <f t="shared" ref="G8:G18" si="4">F8/30</f>
        <v>9.5333333333333332</v>
      </c>
      <c r="H8" s="11">
        <f t="shared" ref="H8:H18" si="5">G8*7</f>
        <v>66.733333333333334</v>
      </c>
    </row>
    <row r="9" spans="1:8">
      <c r="A9" s="6">
        <v>7</v>
      </c>
      <c r="B9" s="8">
        <v>3104738</v>
      </c>
      <c r="C9" s="2" t="s">
        <v>6</v>
      </c>
      <c r="D9" s="9">
        <v>16161</v>
      </c>
      <c r="E9" s="9">
        <v>16308</v>
      </c>
      <c r="F9" s="9">
        <f t="shared" si="3"/>
        <v>147</v>
      </c>
      <c r="G9" s="10">
        <f t="shared" si="4"/>
        <v>4.9000000000000004</v>
      </c>
      <c r="H9" s="11">
        <f t="shared" si="5"/>
        <v>34.300000000000004</v>
      </c>
    </row>
    <row r="10" spans="1:8">
      <c r="A10" s="6">
        <v>8</v>
      </c>
      <c r="B10" s="8">
        <v>3104739</v>
      </c>
      <c r="C10" s="2" t="s">
        <v>7</v>
      </c>
      <c r="D10" s="9">
        <v>8185</v>
      </c>
      <c r="E10" s="9">
        <v>8468</v>
      </c>
      <c r="F10" s="9">
        <f t="shared" si="3"/>
        <v>283</v>
      </c>
      <c r="G10" s="10">
        <f t="shared" si="4"/>
        <v>9.4333333333333336</v>
      </c>
      <c r="H10" s="11">
        <f t="shared" si="5"/>
        <v>66.033333333333331</v>
      </c>
    </row>
    <row r="11" spans="1:8">
      <c r="A11" s="6">
        <v>9</v>
      </c>
      <c r="B11" s="8">
        <v>3104740</v>
      </c>
      <c r="C11" s="2" t="s">
        <v>8</v>
      </c>
      <c r="D11" s="9">
        <v>3842</v>
      </c>
      <c r="E11" s="9">
        <v>3844</v>
      </c>
      <c r="F11" s="9">
        <f t="shared" si="3"/>
        <v>2</v>
      </c>
      <c r="G11" s="10">
        <f t="shared" si="4"/>
        <v>6.6666666666666666E-2</v>
      </c>
      <c r="H11" s="11">
        <f t="shared" si="5"/>
        <v>0.46666666666666667</v>
      </c>
    </row>
    <row r="12" spans="1:8">
      <c r="A12" s="6">
        <v>10</v>
      </c>
      <c r="B12" s="8">
        <v>3104741</v>
      </c>
      <c r="C12" s="2" t="s">
        <v>9</v>
      </c>
      <c r="D12" s="9">
        <v>7840</v>
      </c>
      <c r="E12" s="9">
        <v>7869</v>
      </c>
      <c r="F12" s="9">
        <f t="shared" si="3"/>
        <v>29</v>
      </c>
      <c r="G12" s="10">
        <f t="shared" si="4"/>
        <v>0.96666666666666667</v>
      </c>
      <c r="H12" s="11">
        <f t="shared" si="5"/>
        <v>6.7666666666666666</v>
      </c>
    </row>
    <row r="13" spans="1:8">
      <c r="A13" s="6">
        <v>11</v>
      </c>
      <c r="B13" s="8">
        <v>3104742</v>
      </c>
      <c r="C13" s="2" t="s">
        <v>10</v>
      </c>
      <c r="D13" s="9">
        <v>4664</v>
      </c>
      <c r="E13" s="9">
        <v>4670</v>
      </c>
      <c r="F13" s="9">
        <f t="shared" si="3"/>
        <v>6</v>
      </c>
      <c r="G13" s="10">
        <f t="shared" si="4"/>
        <v>0.2</v>
      </c>
      <c r="H13" s="11">
        <f t="shared" si="5"/>
        <v>1.4000000000000001</v>
      </c>
    </row>
    <row r="14" spans="1:8">
      <c r="A14" s="6">
        <v>12</v>
      </c>
      <c r="B14" s="8">
        <v>3104743</v>
      </c>
      <c r="C14" s="2" t="s">
        <v>11</v>
      </c>
      <c r="D14" s="9">
        <v>22988</v>
      </c>
      <c r="E14" s="9">
        <v>23212</v>
      </c>
      <c r="F14" s="9">
        <f t="shared" si="3"/>
        <v>224</v>
      </c>
      <c r="G14" s="10">
        <f t="shared" si="4"/>
        <v>7.4666666666666668</v>
      </c>
      <c r="H14" s="11">
        <f t="shared" si="5"/>
        <v>52.266666666666666</v>
      </c>
    </row>
    <row r="15" spans="1:8">
      <c r="A15" s="6">
        <v>13</v>
      </c>
      <c r="B15" s="8">
        <v>3104744</v>
      </c>
      <c r="C15" s="2" t="s">
        <v>12</v>
      </c>
      <c r="D15" s="9">
        <v>3175</v>
      </c>
      <c r="E15" s="9">
        <v>3229</v>
      </c>
      <c r="F15" s="9">
        <f t="shared" si="3"/>
        <v>54</v>
      </c>
      <c r="G15" s="10">
        <f t="shared" si="4"/>
        <v>1.8</v>
      </c>
      <c r="H15" s="11">
        <f t="shared" si="5"/>
        <v>12.6</v>
      </c>
    </row>
    <row r="16" spans="1:8">
      <c r="A16" s="6">
        <v>14</v>
      </c>
      <c r="B16" s="8">
        <v>3104745</v>
      </c>
      <c r="C16" s="2" t="s">
        <v>13</v>
      </c>
      <c r="D16" s="9">
        <v>12974</v>
      </c>
      <c r="E16" s="9">
        <v>13116</v>
      </c>
      <c r="F16" s="9">
        <f t="shared" si="3"/>
        <v>142</v>
      </c>
      <c r="G16" s="10">
        <f t="shared" si="4"/>
        <v>4.7333333333333334</v>
      </c>
      <c r="H16" s="11">
        <f t="shared" si="5"/>
        <v>33.133333333333333</v>
      </c>
    </row>
    <row r="17" spans="1:8">
      <c r="A17" s="6">
        <v>15</v>
      </c>
      <c r="B17" s="8">
        <v>3104746</v>
      </c>
      <c r="C17" s="2" t="s">
        <v>14</v>
      </c>
      <c r="D17" s="9">
        <v>3593</v>
      </c>
      <c r="E17" s="9">
        <v>3593</v>
      </c>
      <c r="F17" s="9">
        <f t="shared" si="3"/>
        <v>0</v>
      </c>
      <c r="G17" s="10">
        <f t="shared" si="4"/>
        <v>0</v>
      </c>
      <c r="H17" s="11">
        <f t="shared" si="5"/>
        <v>0</v>
      </c>
    </row>
    <row r="18" spans="1:8">
      <c r="A18" s="6">
        <v>16</v>
      </c>
      <c r="B18" s="8">
        <v>3104747</v>
      </c>
      <c r="C18" s="2" t="s">
        <v>15</v>
      </c>
      <c r="D18" s="9">
        <v>3560</v>
      </c>
      <c r="E18" s="9">
        <v>3560</v>
      </c>
      <c r="F18" s="9">
        <f t="shared" si="3"/>
        <v>0</v>
      </c>
      <c r="G18" s="10">
        <f t="shared" si="4"/>
        <v>0</v>
      </c>
      <c r="H18" s="11">
        <f t="shared" si="5"/>
        <v>0</v>
      </c>
    </row>
    <row r="19" spans="1:8">
      <c r="A19" s="6">
        <v>17</v>
      </c>
      <c r="B19" s="8">
        <v>3104748</v>
      </c>
      <c r="C19" s="2" t="s">
        <v>16</v>
      </c>
      <c r="D19" s="9">
        <v>13189</v>
      </c>
      <c r="E19" s="9">
        <v>13249</v>
      </c>
      <c r="F19" s="9">
        <f t="shared" ref="F19:F82" si="6">+E19-D19</f>
        <v>60</v>
      </c>
      <c r="G19" s="10">
        <f t="shared" ref="G19:G82" si="7">F19/30</f>
        <v>2</v>
      </c>
      <c r="H19" s="11">
        <f t="shared" ref="H19:H82" si="8">G19*7</f>
        <v>14</v>
      </c>
    </row>
    <row r="20" spans="1:8">
      <c r="A20" s="6">
        <v>18</v>
      </c>
      <c r="B20" s="8">
        <v>3104749</v>
      </c>
      <c r="C20" s="2" t="s">
        <v>17</v>
      </c>
      <c r="D20" s="9">
        <v>1703</v>
      </c>
      <c r="E20" s="9">
        <v>1756</v>
      </c>
      <c r="F20" s="9">
        <f t="shared" si="6"/>
        <v>53</v>
      </c>
      <c r="G20" s="10">
        <f t="shared" si="7"/>
        <v>1.7666666666666666</v>
      </c>
      <c r="H20" s="11">
        <f t="shared" si="8"/>
        <v>12.366666666666667</v>
      </c>
    </row>
    <row r="21" spans="1:8">
      <c r="A21" s="6">
        <v>19</v>
      </c>
      <c r="B21" s="8">
        <v>3104750</v>
      </c>
      <c r="C21" s="2" t="s">
        <v>18</v>
      </c>
      <c r="D21" s="9">
        <v>17345</v>
      </c>
      <c r="E21" s="9">
        <v>17720</v>
      </c>
      <c r="F21" s="9">
        <f t="shared" si="6"/>
        <v>375</v>
      </c>
      <c r="G21" s="10">
        <f t="shared" si="7"/>
        <v>12.5</v>
      </c>
      <c r="H21" s="11">
        <f t="shared" si="8"/>
        <v>87.5</v>
      </c>
    </row>
    <row r="22" spans="1:8">
      <c r="A22" s="6">
        <v>20</v>
      </c>
      <c r="B22" s="8">
        <v>3104751</v>
      </c>
      <c r="C22" s="2" t="s">
        <v>19</v>
      </c>
      <c r="D22" s="9">
        <v>391</v>
      </c>
      <c r="E22" s="9">
        <v>426</v>
      </c>
      <c r="F22" s="9">
        <f t="shared" si="6"/>
        <v>35</v>
      </c>
      <c r="G22" s="10">
        <f t="shared" si="7"/>
        <v>1.1666666666666667</v>
      </c>
      <c r="H22" s="11">
        <f t="shared" si="8"/>
        <v>8.1666666666666679</v>
      </c>
    </row>
    <row r="23" spans="1:8">
      <c r="A23" s="6">
        <v>21</v>
      </c>
      <c r="B23" s="8">
        <v>3104752</v>
      </c>
      <c r="C23" s="2" t="s">
        <v>20</v>
      </c>
      <c r="D23" s="9">
        <v>6331</v>
      </c>
      <c r="E23" s="9">
        <v>6646</v>
      </c>
      <c r="F23" s="9">
        <f t="shared" si="6"/>
        <v>315</v>
      </c>
      <c r="G23" s="10">
        <f t="shared" si="7"/>
        <v>10.5</v>
      </c>
      <c r="H23" s="11">
        <f t="shared" si="8"/>
        <v>73.5</v>
      </c>
    </row>
    <row r="24" spans="1:8">
      <c r="A24" s="6">
        <v>22</v>
      </c>
      <c r="B24" s="8">
        <v>3104753</v>
      </c>
      <c r="C24" s="2" t="s">
        <v>21</v>
      </c>
      <c r="D24" s="9">
        <v>19913</v>
      </c>
      <c r="E24" s="9">
        <v>20177</v>
      </c>
      <c r="F24" s="9">
        <f t="shared" si="6"/>
        <v>264</v>
      </c>
      <c r="G24" s="10">
        <f t="shared" si="7"/>
        <v>8.8000000000000007</v>
      </c>
      <c r="H24" s="11">
        <f t="shared" si="8"/>
        <v>61.600000000000009</v>
      </c>
    </row>
    <row r="25" spans="1:8">
      <c r="A25" s="6">
        <v>23</v>
      </c>
      <c r="B25" s="8">
        <v>3104754</v>
      </c>
      <c r="C25" s="2" t="s">
        <v>22</v>
      </c>
      <c r="D25" s="9">
        <v>10576</v>
      </c>
      <c r="E25" s="9">
        <v>10680</v>
      </c>
      <c r="F25" s="9">
        <f t="shared" si="6"/>
        <v>104</v>
      </c>
      <c r="G25" s="10">
        <f t="shared" si="7"/>
        <v>3.4666666666666668</v>
      </c>
      <c r="H25" s="11">
        <f t="shared" si="8"/>
        <v>24.266666666666666</v>
      </c>
    </row>
    <row r="26" spans="1:8">
      <c r="A26" s="6">
        <v>24</v>
      </c>
      <c r="B26" s="8">
        <v>3104755</v>
      </c>
      <c r="C26" s="2" t="s">
        <v>23</v>
      </c>
      <c r="D26" s="9">
        <v>18077</v>
      </c>
      <c r="E26" s="9">
        <v>18209</v>
      </c>
      <c r="F26" s="9">
        <f t="shared" si="6"/>
        <v>132</v>
      </c>
      <c r="G26" s="10">
        <f t="shared" si="7"/>
        <v>4.4000000000000004</v>
      </c>
      <c r="H26" s="11">
        <f t="shared" si="8"/>
        <v>30.800000000000004</v>
      </c>
    </row>
    <row r="27" spans="1:8">
      <c r="A27" s="6">
        <v>25</v>
      </c>
      <c r="B27" s="8">
        <v>3104756</v>
      </c>
      <c r="C27" s="2" t="s">
        <v>24</v>
      </c>
      <c r="D27" s="9">
        <v>11400</v>
      </c>
      <c r="E27" s="9">
        <v>11633</v>
      </c>
      <c r="F27" s="9">
        <f t="shared" si="6"/>
        <v>233</v>
      </c>
      <c r="G27" s="10">
        <f t="shared" si="7"/>
        <v>7.7666666666666666</v>
      </c>
      <c r="H27" s="11">
        <f t="shared" si="8"/>
        <v>54.366666666666667</v>
      </c>
    </row>
    <row r="28" spans="1:8">
      <c r="A28" s="6">
        <v>26</v>
      </c>
      <c r="B28" s="8">
        <v>3104757</v>
      </c>
      <c r="C28" s="2" t="s">
        <v>25</v>
      </c>
      <c r="D28" s="9">
        <v>1472</v>
      </c>
      <c r="E28" s="9">
        <v>1472</v>
      </c>
      <c r="F28" s="9">
        <f t="shared" si="6"/>
        <v>0</v>
      </c>
      <c r="G28" s="10">
        <f t="shared" si="7"/>
        <v>0</v>
      </c>
      <c r="H28" s="11">
        <f t="shared" si="8"/>
        <v>0</v>
      </c>
    </row>
    <row r="29" spans="1:8">
      <c r="A29" s="6">
        <v>27</v>
      </c>
      <c r="B29" s="8">
        <v>3104758</v>
      </c>
      <c r="C29" s="2" t="s">
        <v>26</v>
      </c>
      <c r="D29" s="9">
        <v>7781</v>
      </c>
      <c r="E29" s="9">
        <v>7918</v>
      </c>
      <c r="F29" s="9">
        <f t="shared" si="6"/>
        <v>137</v>
      </c>
      <c r="G29" s="10">
        <f t="shared" si="7"/>
        <v>4.5666666666666664</v>
      </c>
      <c r="H29" s="11">
        <f t="shared" si="8"/>
        <v>31.966666666666665</v>
      </c>
    </row>
    <row r="30" spans="1:8">
      <c r="A30" s="6">
        <v>28</v>
      </c>
      <c r="B30" s="8">
        <v>3104759</v>
      </c>
      <c r="C30" s="2" t="s">
        <v>27</v>
      </c>
      <c r="D30" s="9">
        <v>12392</v>
      </c>
      <c r="E30" s="9">
        <v>12579</v>
      </c>
      <c r="F30" s="9">
        <f t="shared" si="6"/>
        <v>187</v>
      </c>
      <c r="G30" s="10">
        <f t="shared" si="7"/>
        <v>6.2333333333333334</v>
      </c>
      <c r="H30" s="11">
        <f t="shared" si="8"/>
        <v>43.633333333333333</v>
      </c>
    </row>
    <row r="31" spans="1:8">
      <c r="A31" s="6">
        <v>29</v>
      </c>
      <c r="B31" s="8">
        <v>3104760</v>
      </c>
      <c r="C31" s="2" t="s">
        <v>28</v>
      </c>
      <c r="D31" s="9">
        <v>6448</v>
      </c>
      <c r="E31" s="9">
        <v>6544</v>
      </c>
      <c r="F31" s="9">
        <f t="shared" si="6"/>
        <v>96</v>
      </c>
      <c r="G31" s="10">
        <f t="shared" si="7"/>
        <v>3.2</v>
      </c>
      <c r="H31" s="11">
        <f t="shared" si="8"/>
        <v>22.400000000000002</v>
      </c>
    </row>
    <row r="32" spans="1:8">
      <c r="A32" s="6">
        <v>30</v>
      </c>
      <c r="B32" s="8">
        <v>3104761</v>
      </c>
      <c r="C32" s="2" t="s">
        <v>29</v>
      </c>
      <c r="D32" s="9">
        <v>8670</v>
      </c>
      <c r="E32" s="9">
        <v>8710</v>
      </c>
      <c r="F32" s="9">
        <f t="shared" si="6"/>
        <v>40</v>
      </c>
      <c r="G32" s="10">
        <f t="shared" si="7"/>
        <v>1.3333333333333333</v>
      </c>
      <c r="H32" s="11">
        <f t="shared" si="8"/>
        <v>9.3333333333333321</v>
      </c>
    </row>
    <row r="33" spans="1:8">
      <c r="A33" s="6">
        <v>31</v>
      </c>
      <c r="B33" s="8">
        <v>3104762</v>
      </c>
      <c r="C33" s="2" t="s">
        <v>30</v>
      </c>
      <c r="D33" s="9">
        <v>14343</v>
      </c>
      <c r="E33" s="9">
        <v>14617</v>
      </c>
      <c r="F33" s="9">
        <f t="shared" si="6"/>
        <v>274</v>
      </c>
      <c r="G33" s="10">
        <f t="shared" si="7"/>
        <v>9.1333333333333329</v>
      </c>
      <c r="H33" s="11">
        <f t="shared" si="8"/>
        <v>63.93333333333333</v>
      </c>
    </row>
    <row r="34" spans="1:8">
      <c r="A34" s="6">
        <v>32</v>
      </c>
      <c r="B34" s="8">
        <v>3104763</v>
      </c>
      <c r="C34" s="2" t="s">
        <v>31</v>
      </c>
      <c r="D34" s="9">
        <v>32798</v>
      </c>
      <c r="E34" s="9">
        <v>32998</v>
      </c>
      <c r="F34" s="9">
        <f t="shared" si="6"/>
        <v>200</v>
      </c>
      <c r="G34" s="10">
        <f t="shared" si="7"/>
        <v>6.666666666666667</v>
      </c>
      <c r="H34" s="11">
        <f t="shared" si="8"/>
        <v>46.666666666666671</v>
      </c>
    </row>
    <row r="35" spans="1:8">
      <c r="A35" s="6">
        <v>33</v>
      </c>
      <c r="B35" s="8">
        <v>3104764</v>
      </c>
      <c r="C35" s="2" t="s">
        <v>32</v>
      </c>
      <c r="D35" s="9">
        <v>22676</v>
      </c>
      <c r="E35" s="9">
        <v>22887</v>
      </c>
      <c r="F35" s="9">
        <f t="shared" si="6"/>
        <v>211</v>
      </c>
      <c r="G35" s="10">
        <f t="shared" si="7"/>
        <v>7.0333333333333332</v>
      </c>
      <c r="H35" s="11">
        <f t="shared" si="8"/>
        <v>49.233333333333334</v>
      </c>
    </row>
    <row r="36" spans="1:8">
      <c r="A36" s="6">
        <v>34</v>
      </c>
      <c r="B36" s="8">
        <v>3104765</v>
      </c>
      <c r="C36" s="2" t="s">
        <v>33</v>
      </c>
      <c r="D36" s="9">
        <v>148</v>
      </c>
      <c r="E36" s="9">
        <v>148</v>
      </c>
      <c r="F36" s="9">
        <f t="shared" si="6"/>
        <v>0</v>
      </c>
      <c r="G36" s="10">
        <f t="shared" si="7"/>
        <v>0</v>
      </c>
      <c r="H36" s="11">
        <f t="shared" si="8"/>
        <v>0</v>
      </c>
    </row>
    <row r="37" spans="1:8">
      <c r="A37" s="6">
        <v>35</v>
      </c>
      <c r="B37" s="8">
        <v>3104766</v>
      </c>
      <c r="C37" s="2" t="s">
        <v>34</v>
      </c>
      <c r="D37" s="9">
        <v>1526</v>
      </c>
      <c r="E37" s="9">
        <v>1609</v>
      </c>
      <c r="F37" s="9">
        <f t="shared" si="6"/>
        <v>83</v>
      </c>
      <c r="G37" s="10">
        <f t="shared" si="7"/>
        <v>2.7666666666666666</v>
      </c>
      <c r="H37" s="11">
        <f t="shared" si="8"/>
        <v>19.366666666666667</v>
      </c>
    </row>
    <row r="38" spans="1:8">
      <c r="A38" s="6">
        <v>36</v>
      </c>
      <c r="B38" s="8">
        <v>3104767</v>
      </c>
      <c r="C38" s="2" t="s">
        <v>35</v>
      </c>
      <c r="D38" s="9">
        <v>5774</v>
      </c>
      <c r="E38" s="9">
        <v>5905</v>
      </c>
      <c r="F38" s="9">
        <f t="shared" si="6"/>
        <v>131</v>
      </c>
      <c r="G38" s="10">
        <f t="shared" si="7"/>
        <v>4.3666666666666663</v>
      </c>
      <c r="H38" s="11">
        <f t="shared" si="8"/>
        <v>30.566666666666663</v>
      </c>
    </row>
    <row r="39" spans="1:8">
      <c r="A39" s="6">
        <v>37</v>
      </c>
      <c r="B39" s="8">
        <v>3104768</v>
      </c>
      <c r="C39" s="2" t="s">
        <v>36</v>
      </c>
      <c r="D39" s="9">
        <v>6557</v>
      </c>
      <c r="E39" s="9">
        <v>6627</v>
      </c>
      <c r="F39" s="9">
        <f t="shared" si="6"/>
        <v>70</v>
      </c>
      <c r="G39" s="10">
        <f t="shared" si="7"/>
        <v>2.3333333333333335</v>
      </c>
      <c r="H39" s="11">
        <f t="shared" si="8"/>
        <v>16.333333333333336</v>
      </c>
    </row>
    <row r="40" spans="1:8">
      <c r="A40" s="6">
        <v>38</v>
      </c>
      <c r="B40" s="8">
        <v>3104769</v>
      </c>
      <c r="C40" s="2" t="s">
        <v>37</v>
      </c>
      <c r="D40" s="9">
        <v>8183</v>
      </c>
      <c r="E40" s="9">
        <v>8185</v>
      </c>
      <c r="F40" s="9">
        <f t="shared" si="6"/>
        <v>2</v>
      </c>
      <c r="G40" s="10">
        <f t="shared" si="7"/>
        <v>6.6666666666666666E-2</v>
      </c>
      <c r="H40" s="11">
        <f t="shared" si="8"/>
        <v>0.46666666666666667</v>
      </c>
    </row>
    <row r="41" spans="1:8">
      <c r="A41" s="6">
        <v>39</v>
      </c>
      <c r="B41" s="8">
        <v>3104770</v>
      </c>
      <c r="C41" s="2" t="s">
        <v>38</v>
      </c>
      <c r="D41" s="9">
        <v>6037</v>
      </c>
      <c r="E41" s="9">
        <v>6061</v>
      </c>
      <c r="F41" s="9">
        <f t="shared" si="6"/>
        <v>24</v>
      </c>
      <c r="G41" s="10">
        <f t="shared" si="7"/>
        <v>0.8</v>
      </c>
      <c r="H41" s="11">
        <f t="shared" si="8"/>
        <v>5.6000000000000005</v>
      </c>
    </row>
    <row r="42" spans="1:8">
      <c r="A42" s="6">
        <v>40</v>
      </c>
      <c r="B42" s="8">
        <v>3104771</v>
      </c>
      <c r="C42" s="2" t="s">
        <v>39</v>
      </c>
      <c r="D42" s="9">
        <v>1022</v>
      </c>
      <c r="E42" s="9">
        <v>1084</v>
      </c>
      <c r="F42" s="9">
        <f t="shared" si="6"/>
        <v>62</v>
      </c>
      <c r="G42" s="10">
        <f t="shared" si="7"/>
        <v>2.0666666666666669</v>
      </c>
      <c r="H42" s="11">
        <f t="shared" si="8"/>
        <v>14.466666666666669</v>
      </c>
    </row>
    <row r="43" spans="1:8">
      <c r="A43" s="6">
        <v>41</v>
      </c>
      <c r="B43" s="8">
        <v>3104772</v>
      </c>
      <c r="C43" s="2" t="s">
        <v>40</v>
      </c>
      <c r="D43" s="9">
        <v>9923</v>
      </c>
      <c r="E43" s="9">
        <v>10076</v>
      </c>
      <c r="F43" s="9">
        <f t="shared" si="6"/>
        <v>153</v>
      </c>
      <c r="G43" s="10">
        <f t="shared" si="7"/>
        <v>5.0999999999999996</v>
      </c>
      <c r="H43" s="11">
        <f t="shared" si="8"/>
        <v>35.699999999999996</v>
      </c>
    </row>
    <row r="44" spans="1:8">
      <c r="A44" s="6">
        <v>42</v>
      </c>
      <c r="B44" s="8">
        <v>3104773</v>
      </c>
      <c r="C44" s="2" t="s">
        <v>41</v>
      </c>
      <c r="D44" s="9">
        <v>9876</v>
      </c>
      <c r="E44" s="9">
        <v>10175</v>
      </c>
      <c r="F44" s="9">
        <f t="shared" si="6"/>
        <v>299</v>
      </c>
      <c r="G44" s="10">
        <f t="shared" si="7"/>
        <v>9.9666666666666668</v>
      </c>
      <c r="H44" s="11">
        <f t="shared" si="8"/>
        <v>69.766666666666666</v>
      </c>
    </row>
    <row r="45" spans="1:8">
      <c r="A45" s="6">
        <v>43</v>
      </c>
      <c r="B45" s="8">
        <v>3104774</v>
      </c>
      <c r="C45" s="2" t="s">
        <v>42</v>
      </c>
      <c r="D45" s="9">
        <v>2478</v>
      </c>
      <c r="E45" s="9">
        <v>2661</v>
      </c>
      <c r="F45" s="9">
        <f t="shared" si="6"/>
        <v>183</v>
      </c>
      <c r="G45" s="10">
        <f t="shared" si="7"/>
        <v>6.1</v>
      </c>
      <c r="H45" s="11">
        <f t="shared" si="8"/>
        <v>42.699999999999996</v>
      </c>
    </row>
    <row r="46" spans="1:8">
      <c r="A46" s="6">
        <v>44</v>
      </c>
      <c r="B46" s="8">
        <v>3104775</v>
      </c>
      <c r="C46" s="2" t="s">
        <v>43</v>
      </c>
      <c r="D46" s="9">
        <v>7297</v>
      </c>
      <c r="E46" s="9">
        <v>7464</v>
      </c>
      <c r="F46" s="9">
        <f t="shared" si="6"/>
        <v>167</v>
      </c>
      <c r="G46" s="10">
        <f t="shared" si="7"/>
        <v>5.5666666666666664</v>
      </c>
      <c r="H46" s="11">
        <f t="shared" si="8"/>
        <v>38.966666666666669</v>
      </c>
    </row>
    <row r="47" spans="1:8">
      <c r="A47" s="6">
        <v>45</v>
      </c>
      <c r="B47" s="8">
        <v>3104776</v>
      </c>
      <c r="C47" s="2" t="s">
        <v>44</v>
      </c>
      <c r="D47" s="9">
        <v>7332</v>
      </c>
      <c r="E47" s="9">
        <v>7426</v>
      </c>
      <c r="F47" s="9">
        <f t="shared" si="6"/>
        <v>94</v>
      </c>
      <c r="G47" s="10">
        <f t="shared" si="7"/>
        <v>3.1333333333333333</v>
      </c>
      <c r="H47" s="11">
        <f t="shared" si="8"/>
        <v>21.933333333333334</v>
      </c>
    </row>
    <row r="48" spans="1:8">
      <c r="A48" s="6">
        <v>46</v>
      </c>
      <c r="B48" s="8">
        <v>3104777</v>
      </c>
      <c r="C48" s="2" t="s">
        <v>45</v>
      </c>
      <c r="D48" s="9">
        <v>7848</v>
      </c>
      <c r="E48" s="9">
        <v>7965</v>
      </c>
      <c r="F48" s="9">
        <f t="shared" si="6"/>
        <v>117</v>
      </c>
      <c r="G48" s="10">
        <f t="shared" si="7"/>
        <v>3.9</v>
      </c>
      <c r="H48" s="11">
        <f t="shared" si="8"/>
        <v>27.3</v>
      </c>
    </row>
    <row r="49" spans="1:8">
      <c r="A49" s="6">
        <v>47</v>
      </c>
      <c r="B49" s="8">
        <v>3104778</v>
      </c>
      <c r="C49" s="2" t="s">
        <v>46</v>
      </c>
      <c r="D49" s="9">
        <v>18669</v>
      </c>
      <c r="E49" s="9">
        <v>18981</v>
      </c>
      <c r="F49" s="9">
        <f t="shared" si="6"/>
        <v>312</v>
      </c>
      <c r="G49" s="10">
        <f t="shared" si="7"/>
        <v>10.4</v>
      </c>
      <c r="H49" s="11">
        <f t="shared" si="8"/>
        <v>72.8</v>
      </c>
    </row>
    <row r="50" spans="1:8">
      <c r="A50" s="6">
        <v>48</v>
      </c>
      <c r="B50" s="8">
        <v>3104779</v>
      </c>
      <c r="C50" s="2" t="s">
        <v>47</v>
      </c>
      <c r="D50" s="9">
        <v>9863</v>
      </c>
      <c r="E50" s="9">
        <v>9912</v>
      </c>
      <c r="F50" s="9">
        <f t="shared" si="6"/>
        <v>49</v>
      </c>
      <c r="G50" s="10">
        <f t="shared" si="7"/>
        <v>1.6333333333333333</v>
      </c>
      <c r="H50" s="11">
        <f t="shared" si="8"/>
        <v>11.433333333333334</v>
      </c>
    </row>
    <row r="51" spans="1:8">
      <c r="A51" s="6">
        <v>49</v>
      </c>
      <c r="B51" s="8">
        <v>3104780</v>
      </c>
      <c r="C51" s="2" t="s">
        <v>48</v>
      </c>
      <c r="D51" s="9">
        <v>5465</v>
      </c>
      <c r="E51" s="9">
        <v>5635</v>
      </c>
      <c r="F51" s="9">
        <f t="shared" si="6"/>
        <v>170</v>
      </c>
      <c r="G51" s="10">
        <f t="shared" si="7"/>
        <v>5.666666666666667</v>
      </c>
      <c r="H51" s="11">
        <f t="shared" si="8"/>
        <v>39.666666666666671</v>
      </c>
    </row>
    <row r="52" spans="1:8">
      <c r="A52" s="6">
        <v>50</v>
      </c>
      <c r="B52" s="8">
        <v>3104781</v>
      </c>
      <c r="C52" s="2" t="s">
        <v>49</v>
      </c>
      <c r="D52" s="9">
        <v>6182</v>
      </c>
      <c r="E52" s="9">
        <v>6367</v>
      </c>
      <c r="F52" s="9">
        <f t="shared" si="6"/>
        <v>185</v>
      </c>
      <c r="G52" s="10">
        <f t="shared" si="7"/>
        <v>6.166666666666667</v>
      </c>
      <c r="H52" s="11">
        <f t="shared" si="8"/>
        <v>43.166666666666671</v>
      </c>
    </row>
    <row r="53" spans="1:8">
      <c r="A53" s="6">
        <v>51</v>
      </c>
      <c r="B53" s="8">
        <v>3104782</v>
      </c>
      <c r="C53" s="2" t="s">
        <v>50</v>
      </c>
      <c r="D53" s="9">
        <v>2831</v>
      </c>
      <c r="E53" s="9">
        <v>3138</v>
      </c>
      <c r="F53" s="9">
        <f t="shared" si="6"/>
        <v>307</v>
      </c>
      <c r="G53" s="10">
        <f t="shared" si="7"/>
        <v>10.233333333333333</v>
      </c>
      <c r="H53" s="11">
        <f t="shared" si="8"/>
        <v>71.633333333333326</v>
      </c>
    </row>
    <row r="54" spans="1:8">
      <c r="A54" s="6">
        <v>52</v>
      </c>
      <c r="B54" s="8">
        <v>3104783</v>
      </c>
      <c r="C54" s="2" t="s">
        <v>51</v>
      </c>
      <c r="D54" s="9">
        <v>15897</v>
      </c>
      <c r="E54" s="9">
        <v>15908</v>
      </c>
      <c r="F54" s="9">
        <f t="shared" si="6"/>
        <v>11</v>
      </c>
      <c r="G54" s="10">
        <f t="shared" si="7"/>
        <v>0.36666666666666664</v>
      </c>
      <c r="H54" s="11">
        <f t="shared" si="8"/>
        <v>2.5666666666666664</v>
      </c>
    </row>
    <row r="55" spans="1:8">
      <c r="A55" s="6">
        <v>53</v>
      </c>
      <c r="B55" s="8">
        <v>3104784</v>
      </c>
      <c r="C55" s="2" t="s">
        <v>52</v>
      </c>
      <c r="D55" s="9">
        <v>14476</v>
      </c>
      <c r="E55" s="9">
        <v>14568</v>
      </c>
      <c r="F55" s="9">
        <f t="shared" si="6"/>
        <v>92</v>
      </c>
      <c r="G55" s="10">
        <f t="shared" si="7"/>
        <v>3.0666666666666669</v>
      </c>
      <c r="H55" s="11">
        <f t="shared" si="8"/>
        <v>21.466666666666669</v>
      </c>
    </row>
    <row r="56" spans="1:8">
      <c r="A56" s="6">
        <v>54</v>
      </c>
      <c r="B56" s="8">
        <v>3104785</v>
      </c>
      <c r="C56" s="2" t="s">
        <v>53</v>
      </c>
      <c r="D56" s="9">
        <v>10497</v>
      </c>
      <c r="E56" s="9">
        <v>10632</v>
      </c>
      <c r="F56" s="9">
        <f t="shared" si="6"/>
        <v>135</v>
      </c>
      <c r="G56" s="10">
        <f t="shared" si="7"/>
        <v>4.5</v>
      </c>
      <c r="H56" s="11">
        <f t="shared" si="8"/>
        <v>31.5</v>
      </c>
    </row>
    <row r="57" spans="1:8">
      <c r="A57" s="6">
        <v>55</v>
      </c>
      <c r="B57" s="8">
        <v>3104786</v>
      </c>
      <c r="C57" s="2" t="s">
        <v>54</v>
      </c>
      <c r="D57" s="9">
        <v>6450</v>
      </c>
      <c r="E57" s="9">
        <v>6524</v>
      </c>
      <c r="F57" s="9">
        <f t="shared" si="6"/>
        <v>74</v>
      </c>
      <c r="G57" s="10">
        <f t="shared" si="7"/>
        <v>2.4666666666666668</v>
      </c>
      <c r="H57" s="11">
        <f t="shared" si="8"/>
        <v>17.266666666666666</v>
      </c>
    </row>
    <row r="58" spans="1:8">
      <c r="A58" s="6">
        <v>56</v>
      </c>
      <c r="B58" s="8">
        <v>3104787</v>
      </c>
      <c r="C58" s="2" t="s">
        <v>55</v>
      </c>
      <c r="D58" s="9">
        <v>5388</v>
      </c>
      <c r="E58" s="9">
        <v>5441</v>
      </c>
      <c r="F58" s="9">
        <f t="shared" si="6"/>
        <v>53</v>
      </c>
      <c r="G58" s="10">
        <f t="shared" si="7"/>
        <v>1.7666666666666666</v>
      </c>
      <c r="H58" s="11">
        <f t="shared" si="8"/>
        <v>12.366666666666667</v>
      </c>
    </row>
    <row r="59" spans="1:8">
      <c r="A59" s="6">
        <v>57</v>
      </c>
      <c r="B59" s="8">
        <v>3104788</v>
      </c>
      <c r="C59" s="2" t="s">
        <v>56</v>
      </c>
      <c r="D59" s="9">
        <v>9596</v>
      </c>
      <c r="E59" s="9">
        <v>9669</v>
      </c>
      <c r="F59" s="9">
        <f t="shared" si="6"/>
        <v>73</v>
      </c>
      <c r="G59" s="10">
        <f t="shared" si="7"/>
        <v>2.4333333333333331</v>
      </c>
      <c r="H59" s="11">
        <f t="shared" si="8"/>
        <v>17.033333333333331</v>
      </c>
    </row>
    <row r="60" spans="1:8">
      <c r="A60" s="6">
        <v>58</v>
      </c>
      <c r="B60" s="8">
        <v>3104789</v>
      </c>
      <c r="C60" s="2" t="s">
        <v>57</v>
      </c>
      <c r="D60" s="9">
        <v>12360</v>
      </c>
      <c r="E60" s="9">
        <v>12386</v>
      </c>
      <c r="F60" s="9">
        <f t="shared" si="6"/>
        <v>26</v>
      </c>
      <c r="G60" s="10">
        <f t="shared" si="7"/>
        <v>0.8666666666666667</v>
      </c>
      <c r="H60" s="11">
        <f t="shared" si="8"/>
        <v>6.0666666666666664</v>
      </c>
    </row>
    <row r="61" spans="1:8">
      <c r="A61" s="6">
        <v>59</v>
      </c>
      <c r="B61" s="8">
        <v>3104790</v>
      </c>
      <c r="C61" s="2" t="s">
        <v>58</v>
      </c>
      <c r="D61" s="9">
        <v>3451</v>
      </c>
      <c r="E61" s="9">
        <v>3492</v>
      </c>
      <c r="F61" s="9">
        <f t="shared" si="6"/>
        <v>41</v>
      </c>
      <c r="G61" s="10">
        <f t="shared" si="7"/>
        <v>1.3666666666666667</v>
      </c>
      <c r="H61" s="11">
        <f t="shared" si="8"/>
        <v>9.5666666666666664</v>
      </c>
    </row>
    <row r="62" spans="1:8">
      <c r="A62" s="6">
        <v>60</v>
      </c>
      <c r="B62" s="8">
        <v>3104791</v>
      </c>
      <c r="C62" s="2" t="s">
        <v>59</v>
      </c>
      <c r="D62" s="9">
        <v>4694</v>
      </c>
      <c r="E62" s="9">
        <v>4758</v>
      </c>
      <c r="F62" s="9">
        <f t="shared" si="6"/>
        <v>64</v>
      </c>
      <c r="G62" s="10">
        <f t="shared" si="7"/>
        <v>2.1333333333333333</v>
      </c>
      <c r="H62" s="11">
        <f t="shared" si="8"/>
        <v>14.933333333333334</v>
      </c>
    </row>
    <row r="63" spans="1:8">
      <c r="A63" s="6">
        <v>61</v>
      </c>
      <c r="B63" s="8">
        <v>3104918</v>
      </c>
      <c r="C63" s="4" t="s">
        <v>60</v>
      </c>
      <c r="D63" s="9">
        <v>12469</v>
      </c>
      <c r="E63" s="9">
        <v>12544</v>
      </c>
      <c r="F63" s="9">
        <f t="shared" si="6"/>
        <v>75</v>
      </c>
      <c r="G63" s="10">
        <f t="shared" si="7"/>
        <v>2.5</v>
      </c>
      <c r="H63" s="11">
        <f t="shared" si="8"/>
        <v>17.5</v>
      </c>
    </row>
    <row r="64" spans="1:8">
      <c r="A64" s="6">
        <v>62</v>
      </c>
      <c r="B64" s="8">
        <v>3022336</v>
      </c>
      <c r="C64" s="2" t="s">
        <v>61</v>
      </c>
      <c r="D64" s="9">
        <v>1687</v>
      </c>
      <c r="E64" s="9">
        <v>1884</v>
      </c>
      <c r="F64" s="9">
        <f t="shared" si="6"/>
        <v>197</v>
      </c>
      <c r="G64" s="10">
        <f t="shared" si="7"/>
        <v>6.5666666666666664</v>
      </c>
      <c r="H64" s="11">
        <f t="shared" si="8"/>
        <v>45.966666666666669</v>
      </c>
    </row>
    <row r="65" spans="1:8">
      <c r="A65" s="6">
        <v>63</v>
      </c>
      <c r="B65" s="8">
        <v>3104920</v>
      </c>
      <c r="C65" s="2" t="s">
        <v>62</v>
      </c>
      <c r="D65" s="9">
        <v>8270</v>
      </c>
      <c r="E65" s="9">
        <v>8270</v>
      </c>
      <c r="F65" s="9">
        <f t="shared" si="6"/>
        <v>0</v>
      </c>
      <c r="G65" s="10">
        <f t="shared" si="7"/>
        <v>0</v>
      </c>
      <c r="H65" s="11">
        <f t="shared" si="8"/>
        <v>0</v>
      </c>
    </row>
    <row r="66" spans="1:8">
      <c r="A66" s="6">
        <v>64</v>
      </c>
      <c r="B66" s="8">
        <v>3104921</v>
      </c>
      <c r="C66" s="2" t="s">
        <v>63</v>
      </c>
      <c r="D66" s="9">
        <v>15151</v>
      </c>
      <c r="E66" s="9">
        <v>15233</v>
      </c>
      <c r="F66" s="9">
        <f t="shared" si="6"/>
        <v>82</v>
      </c>
      <c r="G66" s="10">
        <f t="shared" si="7"/>
        <v>2.7333333333333334</v>
      </c>
      <c r="H66" s="11">
        <f t="shared" si="8"/>
        <v>19.133333333333333</v>
      </c>
    </row>
    <row r="67" spans="1:8">
      <c r="A67" s="6">
        <v>65</v>
      </c>
      <c r="B67" s="8">
        <v>3104922</v>
      </c>
      <c r="C67" s="2" t="s">
        <v>64</v>
      </c>
      <c r="D67" s="9">
        <v>5317</v>
      </c>
      <c r="E67" s="9">
        <v>5361</v>
      </c>
      <c r="F67" s="9">
        <f t="shared" si="6"/>
        <v>44</v>
      </c>
      <c r="G67" s="10">
        <f t="shared" si="7"/>
        <v>1.4666666666666666</v>
      </c>
      <c r="H67" s="11">
        <f t="shared" si="8"/>
        <v>10.266666666666666</v>
      </c>
    </row>
    <row r="68" spans="1:8">
      <c r="A68" s="6">
        <v>66</v>
      </c>
      <c r="B68" s="8">
        <v>3104923</v>
      </c>
      <c r="C68" s="2" t="s">
        <v>65</v>
      </c>
      <c r="D68" s="9">
        <v>2111</v>
      </c>
      <c r="E68" s="9">
        <v>2161</v>
      </c>
      <c r="F68" s="9">
        <f t="shared" si="6"/>
        <v>50</v>
      </c>
      <c r="G68" s="10">
        <f t="shared" si="7"/>
        <v>1.6666666666666667</v>
      </c>
      <c r="H68" s="11">
        <f t="shared" si="8"/>
        <v>11.666666666666668</v>
      </c>
    </row>
    <row r="69" spans="1:8">
      <c r="A69" s="6">
        <v>67</v>
      </c>
      <c r="B69" s="8">
        <v>3104924</v>
      </c>
      <c r="C69" s="2" t="s">
        <v>66</v>
      </c>
      <c r="D69" s="9">
        <v>2696</v>
      </c>
      <c r="E69" s="9">
        <v>2777</v>
      </c>
      <c r="F69" s="9">
        <f t="shared" si="6"/>
        <v>81</v>
      </c>
      <c r="G69" s="10">
        <f t="shared" si="7"/>
        <v>2.7</v>
      </c>
      <c r="H69" s="11">
        <f t="shared" si="8"/>
        <v>18.900000000000002</v>
      </c>
    </row>
    <row r="70" spans="1:8">
      <c r="A70" s="6">
        <v>68</v>
      </c>
      <c r="B70" s="8">
        <v>3104925</v>
      </c>
      <c r="C70" s="2" t="s">
        <v>67</v>
      </c>
      <c r="D70" s="9">
        <v>3498</v>
      </c>
      <c r="E70" s="9">
        <v>3580</v>
      </c>
      <c r="F70" s="9">
        <f t="shared" si="6"/>
        <v>82</v>
      </c>
      <c r="G70" s="10">
        <f t="shared" si="7"/>
        <v>2.7333333333333334</v>
      </c>
      <c r="H70" s="11">
        <f t="shared" si="8"/>
        <v>19.133333333333333</v>
      </c>
    </row>
    <row r="71" spans="1:8">
      <c r="A71" s="6">
        <v>69</v>
      </c>
      <c r="B71" s="8">
        <v>3104926</v>
      </c>
      <c r="C71" s="2" t="s">
        <v>68</v>
      </c>
      <c r="D71" s="9">
        <v>936</v>
      </c>
      <c r="E71" s="9">
        <v>1321</v>
      </c>
      <c r="F71" s="9">
        <f t="shared" si="6"/>
        <v>385</v>
      </c>
      <c r="G71" s="10">
        <f t="shared" si="7"/>
        <v>12.833333333333334</v>
      </c>
      <c r="H71" s="11">
        <f t="shared" si="8"/>
        <v>89.833333333333343</v>
      </c>
    </row>
    <row r="72" spans="1:8">
      <c r="A72" s="6">
        <v>70</v>
      </c>
      <c r="B72" s="8">
        <v>3104927</v>
      </c>
      <c r="C72" s="2" t="s">
        <v>69</v>
      </c>
      <c r="D72" s="9">
        <v>5587</v>
      </c>
      <c r="E72" s="9">
        <v>5587</v>
      </c>
      <c r="F72" s="9">
        <f t="shared" si="6"/>
        <v>0</v>
      </c>
      <c r="G72" s="10">
        <f t="shared" si="7"/>
        <v>0</v>
      </c>
      <c r="H72" s="11">
        <f t="shared" si="8"/>
        <v>0</v>
      </c>
    </row>
    <row r="73" spans="1:8">
      <c r="A73" s="6">
        <v>71</v>
      </c>
      <c r="B73" s="8">
        <v>3104928</v>
      </c>
      <c r="C73" s="2" t="s">
        <v>70</v>
      </c>
      <c r="D73" s="9">
        <v>14581</v>
      </c>
      <c r="E73" s="9">
        <v>14872</v>
      </c>
      <c r="F73" s="9">
        <f t="shared" si="6"/>
        <v>291</v>
      </c>
      <c r="G73" s="10">
        <f t="shared" si="7"/>
        <v>9.6999999999999993</v>
      </c>
      <c r="H73" s="11">
        <f t="shared" si="8"/>
        <v>67.899999999999991</v>
      </c>
    </row>
    <row r="74" spans="1:8">
      <c r="A74" s="6">
        <v>72</v>
      </c>
      <c r="B74" s="8">
        <v>3104929</v>
      </c>
      <c r="C74" s="2" t="s">
        <v>71</v>
      </c>
      <c r="D74" s="9">
        <v>7481</v>
      </c>
      <c r="E74" s="9">
        <v>7483</v>
      </c>
      <c r="F74" s="9">
        <f t="shared" si="6"/>
        <v>2</v>
      </c>
      <c r="G74" s="10">
        <f t="shared" si="7"/>
        <v>6.6666666666666666E-2</v>
      </c>
      <c r="H74" s="11">
        <f t="shared" si="8"/>
        <v>0.46666666666666667</v>
      </c>
    </row>
    <row r="75" spans="1:8">
      <c r="A75" s="6">
        <v>73</v>
      </c>
      <c r="B75" s="8">
        <v>3104930</v>
      </c>
      <c r="C75" s="2" t="s">
        <v>72</v>
      </c>
      <c r="D75" s="9">
        <v>4401</v>
      </c>
      <c r="E75" s="9">
        <v>4466</v>
      </c>
      <c r="F75" s="9">
        <f t="shared" si="6"/>
        <v>65</v>
      </c>
      <c r="G75" s="10">
        <f t="shared" si="7"/>
        <v>2.1666666666666665</v>
      </c>
      <c r="H75" s="11">
        <f t="shared" si="8"/>
        <v>15.166666666666666</v>
      </c>
    </row>
    <row r="76" spans="1:8">
      <c r="A76" s="6">
        <v>74</v>
      </c>
      <c r="B76" s="8">
        <v>3104931</v>
      </c>
      <c r="C76" s="2" t="s">
        <v>73</v>
      </c>
      <c r="D76" s="9">
        <v>2908</v>
      </c>
      <c r="E76" s="9">
        <v>2961</v>
      </c>
      <c r="F76" s="9">
        <f t="shared" si="6"/>
        <v>53</v>
      </c>
      <c r="G76" s="10">
        <f t="shared" si="7"/>
        <v>1.7666666666666666</v>
      </c>
      <c r="H76" s="11">
        <f t="shared" si="8"/>
        <v>12.366666666666667</v>
      </c>
    </row>
    <row r="77" spans="1:8">
      <c r="A77" s="6">
        <v>75</v>
      </c>
      <c r="B77" s="8">
        <v>3104932</v>
      </c>
      <c r="C77" s="2" t="s">
        <v>74</v>
      </c>
      <c r="D77" s="9">
        <v>2167</v>
      </c>
      <c r="E77" s="9">
        <v>2251</v>
      </c>
      <c r="F77" s="9">
        <f t="shared" si="6"/>
        <v>84</v>
      </c>
      <c r="G77" s="10">
        <f t="shared" si="7"/>
        <v>2.8</v>
      </c>
      <c r="H77" s="11">
        <f t="shared" si="8"/>
        <v>19.599999999999998</v>
      </c>
    </row>
    <row r="78" spans="1:8">
      <c r="A78" s="6">
        <v>76</v>
      </c>
      <c r="B78" s="8">
        <v>3104933</v>
      </c>
      <c r="C78" s="2" t="s">
        <v>75</v>
      </c>
      <c r="D78" s="9">
        <v>15849</v>
      </c>
      <c r="E78" s="9">
        <v>16095</v>
      </c>
      <c r="F78" s="9">
        <f t="shared" si="6"/>
        <v>246</v>
      </c>
      <c r="G78" s="10">
        <f t="shared" si="7"/>
        <v>8.1999999999999993</v>
      </c>
      <c r="H78" s="11">
        <f t="shared" si="8"/>
        <v>57.399999999999991</v>
      </c>
    </row>
    <row r="79" spans="1:8">
      <c r="A79" s="6">
        <v>77</v>
      </c>
      <c r="B79" s="8">
        <v>3104934</v>
      </c>
      <c r="C79" s="2" t="s">
        <v>76</v>
      </c>
      <c r="D79" s="9">
        <v>6547</v>
      </c>
      <c r="E79" s="9">
        <v>6607</v>
      </c>
      <c r="F79" s="9">
        <f t="shared" si="6"/>
        <v>60</v>
      </c>
      <c r="G79" s="10">
        <f t="shared" si="7"/>
        <v>2</v>
      </c>
      <c r="H79" s="11">
        <f t="shared" si="8"/>
        <v>14</v>
      </c>
    </row>
    <row r="80" spans="1:8">
      <c r="A80" s="6">
        <v>78</v>
      </c>
      <c r="B80" s="8">
        <v>3104935</v>
      </c>
      <c r="C80" s="2" t="s">
        <v>77</v>
      </c>
      <c r="D80" s="9">
        <v>8937</v>
      </c>
      <c r="E80" s="9">
        <v>8948</v>
      </c>
      <c r="F80" s="9">
        <f t="shared" si="6"/>
        <v>11</v>
      </c>
      <c r="G80" s="10">
        <f t="shared" si="7"/>
        <v>0.36666666666666664</v>
      </c>
      <c r="H80" s="11">
        <f t="shared" si="8"/>
        <v>2.5666666666666664</v>
      </c>
    </row>
    <row r="81" spans="1:8">
      <c r="A81" s="6">
        <v>79</v>
      </c>
      <c r="B81" s="8">
        <v>3104936</v>
      </c>
      <c r="C81" s="2" t="s">
        <v>78</v>
      </c>
      <c r="D81" s="9">
        <v>5389</v>
      </c>
      <c r="E81" s="9">
        <v>5474</v>
      </c>
      <c r="F81" s="9">
        <f t="shared" si="6"/>
        <v>85</v>
      </c>
      <c r="G81" s="10">
        <f t="shared" si="7"/>
        <v>2.8333333333333335</v>
      </c>
      <c r="H81" s="11">
        <f t="shared" si="8"/>
        <v>19.833333333333336</v>
      </c>
    </row>
    <row r="82" spans="1:8">
      <c r="A82" s="6">
        <v>80</v>
      </c>
      <c r="B82" s="8">
        <v>3104937</v>
      </c>
      <c r="C82" s="2" t="s">
        <v>79</v>
      </c>
      <c r="D82" s="9">
        <v>3763</v>
      </c>
      <c r="E82" s="9">
        <v>3991</v>
      </c>
      <c r="F82" s="9">
        <f t="shared" si="6"/>
        <v>228</v>
      </c>
      <c r="G82" s="10">
        <f t="shared" si="7"/>
        <v>7.6</v>
      </c>
      <c r="H82" s="11">
        <f t="shared" si="8"/>
        <v>53.199999999999996</v>
      </c>
    </row>
    <row r="83" spans="1:8">
      <c r="A83" s="6">
        <v>81</v>
      </c>
      <c r="B83" s="8">
        <v>3104938</v>
      </c>
      <c r="C83" s="2" t="s">
        <v>80</v>
      </c>
      <c r="D83" s="9">
        <v>17797</v>
      </c>
      <c r="E83" s="9">
        <v>18256</v>
      </c>
      <c r="F83" s="9">
        <f t="shared" ref="F83:F102" si="9">+E83-D83</f>
        <v>459</v>
      </c>
      <c r="G83" s="10">
        <f t="shared" ref="G83:G103" si="10">F83/30</f>
        <v>15.3</v>
      </c>
      <c r="H83" s="11">
        <f t="shared" ref="H83:H103" si="11">G83*7</f>
        <v>107.10000000000001</v>
      </c>
    </row>
    <row r="84" spans="1:8">
      <c r="A84" s="6">
        <v>82</v>
      </c>
      <c r="B84" s="8">
        <v>3104939</v>
      </c>
      <c r="C84" s="2" t="s">
        <v>81</v>
      </c>
      <c r="D84" s="9">
        <v>54676</v>
      </c>
      <c r="E84" s="9">
        <v>55281</v>
      </c>
      <c r="F84" s="9">
        <f t="shared" si="9"/>
        <v>605</v>
      </c>
      <c r="G84" s="10">
        <f t="shared" si="10"/>
        <v>20.166666666666668</v>
      </c>
      <c r="H84" s="11">
        <f t="shared" si="11"/>
        <v>141.16666666666669</v>
      </c>
    </row>
    <row r="85" spans="1:8">
      <c r="A85" s="6">
        <v>83</v>
      </c>
      <c r="B85" s="8">
        <v>3104919</v>
      </c>
      <c r="C85" s="2" t="s">
        <v>82</v>
      </c>
      <c r="D85" s="9">
        <v>5835</v>
      </c>
      <c r="E85" s="9">
        <v>5972</v>
      </c>
      <c r="F85" s="9">
        <f t="shared" si="9"/>
        <v>137</v>
      </c>
      <c r="G85" s="10">
        <f t="shared" si="10"/>
        <v>4.5666666666666664</v>
      </c>
      <c r="H85" s="11">
        <f t="shared" si="11"/>
        <v>31.966666666666665</v>
      </c>
    </row>
    <row r="86" spans="1:8">
      <c r="A86" s="6">
        <v>84</v>
      </c>
      <c r="B86" s="8">
        <v>3104941</v>
      </c>
      <c r="C86" s="2" t="s">
        <v>83</v>
      </c>
      <c r="D86" s="9">
        <v>8932</v>
      </c>
      <c r="E86" s="9">
        <v>9045</v>
      </c>
      <c r="F86" s="9">
        <f t="shared" si="9"/>
        <v>113</v>
      </c>
      <c r="G86" s="10">
        <f t="shared" si="10"/>
        <v>3.7666666666666666</v>
      </c>
      <c r="H86" s="11">
        <f t="shared" si="11"/>
        <v>26.366666666666667</v>
      </c>
    </row>
    <row r="87" spans="1:8">
      <c r="A87" s="6">
        <v>85</v>
      </c>
      <c r="B87" s="8">
        <v>3104942</v>
      </c>
      <c r="C87" s="2" t="s">
        <v>84</v>
      </c>
      <c r="D87" s="9">
        <v>7595</v>
      </c>
      <c r="E87" s="9">
        <v>7678</v>
      </c>
      <c r="F87" s="9">
        <f t="shared" si="9"/>
        <v>83</v>
      </c>
      <c r="G87" s="10">
        <f t="shared" si="10"/>
        <v>2.7666666666666666</v>
      </c>
      <c r="H87" s="11">
        <f t="shared" si="11"/>
        <v>19.366666666666667</v>
      </c>
    </row>
    <row r="88" spans="1:8">
      <c r="A88" s="6">
        <v>86</v>
      </c>
      <c r="B88" s="8">
        <v>3104943</v>
      </c>
      <c r="C88" s="2" t="s">
        <v>85</v>
      </c>
      <c r="D88" s="9">
        <v>10929</v>
      </c>
      <c r="E88" s="9">
        <v>11153</v>
      </c>
      <c r="F88" s="9">
        <f t="shared" si="9"/>
        <v>224</v>
      </c>
      <c r="G88" s="10">
        <f t="shared" si="10"/>
        <v>7.4666666666666668</v>
      </c>
      <c r="H88" s="11">
        <f t="shared" si="11"/>
        <v>52.266666666666666</v>
      </c>
    </row>
    <row r="89" spans="1:8">
      <c r="A89" s="6">
        <v>87</v>
      </c>
      <c r="B89" s="8">
        <v>3104944</v>
      </c>
      <c r="C89" s="2" t="s">
        <v>86</v>
      </c>
      <c r="D89" s="9">
        <v>8689</v>
      </c>
      <c r="E89" s="9">
        <v>8756</v>
      </c>
      <c r="F89" s="9">
        <f t="shared" si="9"/>
        <v>67</v>
      </c>
      <c r="G89" s="10">
        <f t="shared" si="10"/>
        <v>2.2333333333333334</v>
      </c>
      <c r="H89" s="11">
        <f t="shared" si="11"/>
        <v>15.633333333333333</v>
      </c>
    </row>
    <row r="90" spans="1:8">
      <c r="A90" s="6">
        <v>88</v>
      </c>
      <c r="B90" s="8">
        <v>3104945</v>
      </c>
      <c r="C90" s="2" t="s">
        <v>87</v>
      </c>
      <c r="D90" s="9">
        <v>10294</v>
      </c>
      <c r="E90" s="9">
        <v>10459</v>
      </c>
      <c r="F90" s="9">
        <f t="shared" si="9"/>
        <v>165</v>
      </c>
      <c r="G90" s="10">
        <f t="shared" si="10"/>
        <v>5.5</v>
      </c>
      <c r="H90" s="11">
        <f t="shared" si="11"/>
        <v>38.5</v>
      </c>
    </row>
    <row r="91" spans="1:8">
      <c r="A91" s="6">
        <v>89</v>
      </c>
      <c r="B91" s="8">
        <v>3104946</v>
      </c>
      <c r="C91" s="2" t="s">
        <v>88</v>
      </c>
      <c r="D91" s="9">
        <v>9881</v>
      </c>
      <c r="E91" s="9">
        <v>9936</v>
      </c>
      <c r="F91" s="9">
        <f t="shared" si="9"/>
        <v>55</v>
      </c>
      <c r="G91" s="10">
        <f t="shared" si="10"/>
        <v>1.8333333333333333</v>
      </c>
      <c r="H91" s="11">
        <f t="shared" si="11"/>
        <v>12.833333333333332</v>
      </c>
    </row>
    <row r="92" spans="1:8">
      <c r="A92" s="6">
        <v>90</v>
      </c>
      <c r="B92" s="8">
        <v>3104947</v>
      </c>
      <c r="C92" s="2" t="s">
        <v>89</v>
      </c>
      <c r="D92" s="9">
        <v>13398</v>
      </c>
      <c r="E92" s="9">
        <v>13511</v>
      </c>
      <c r="F92" s="9">
        <f t="shared" si="9"/>
        <v>113</v>
      </c>
      <c r="G92" s="10">
        <f t="shared" si="10"/>
        <v>3.7666666666666666</v>
      </c>
      <c r="H92" s="11">
        <f t="shared" si="11"/>
        <v>26.366666666666667</v>
      </c>
    </row>
    <row r="93" spans="1:8">
      <c r="A93" s="6">
        <v>91</v>
      </c>
      <c r="B93" s="8">
        <v>3104948</v>
      </c>
      <c r="C93" s="2" t="s">
        <v>90</v>
      </c>
      <c r="D93" s="9">
        <v>15816</v>
      </c>
      <c r="E93" s="9">
        <v>15921</v>
      </c>
      <c r="F93" s="9">
        <f t="shared" si="9"/>
        <v>105</v>
      </c>
      <c r="G93" s="10">
        <f t="shared" si="10"/>
        <v>3.5</v>
      </c>
      <c r="H93" s="11">
        <f t="shared" si="11"/>
        <v>24.5</v>
      </c>
    </row>
    <row r="94" spans="1:8">
      <c r="A94" s="6">
        <v>92</v>
      </c>
      <c r="B94" s="8">
        <v>3104949</v>
      </c>
      <c r="C94" s="2" t="s">
        <v>91</v>
      </c>
      <c r="D94" s="9">
        <v>10727</v>
      </c>
      <c r="E94" s="9">
        <v>10924</v>
      </c>
      <c r="F94" s="9">
        <f t="shared" si="9"/>
        <v>197</v>
      </c>
      <c r="G94" s="10">
        <f t="shared" si="10"/>
        <v>6.5666666666666664</v>
      </c>
      <c r="H94" s="11">
        <f t="shared" si="11"/>
        <v>45.966666666666669</v>
      </c>
    </row>
    <row r="95" spans="1:8">
      <c r="A95" s="6">
        <v>93</v>
      </c>
      <c r="B95" s="8">
        <v>3104950</v>
      </c>
      <c r="C95" s="2" t="s">
        <v>92</v>
      </c>
      <c r="D95" s="9">
        <v>9125</v>
      </c>
      <c r="E95" s="9">
        <v>9245</v>
      </c>
      <c r="F95" s="9">
        <f t="shared" si="9"/>
        <v>120</v>
      </c>
      <c r="G95" s="10">
        <f t="shared" si="10"/>
        <v>4</v>
      </c>
      <c r="H95" s="11">
        <f t="shared" si="11"/>
        <v>28</v>
      </c>
    </row>
    <row r="96" spans="1:8">
      <c r="A96" s="6">
        <v>94</v>
      </c>
      <c r="B96" s="8">
        <v>3104951</v>
      </c>
      <c r="C96" s="2" t="s">
        <v>93</v>
      </c>
      <c r="D96" s="9">
        <v>9327</v>
      </c>
      <c r="E96" s="9">
        <v>9472</v>
      </c>
      <c r="F96" s="9">
        <f t="shared" si="9"/>
        <v>145</v>
      </c>
      <c r="G96" s="10">
        <f t="shared" si="10"/>
        <v>4.833333333333333</v>
      </c>
      <c r="H96" s="11">
        <f t="shared" si="11"/>
        <v>33.833333333333329</v>
      </c>
    </row>
    <row r="97" spans="1:8">
      <c r="A97" s="6">
        <v>95</v>
      </c>
      <c r="B97" s="8">
        <v>3104952</v>
      </c>
      <c r="C97" s="2" t="s">
        <v>94</v>
      </c>
      <c r="D97" s="9">
        <v>14954</v>
      </c>
      <c r="E97" s="9">
        <v>15088</v>
      </c>
      <c r="F97" s="9">
        <f t="shared" si="9"/>
        <v>134</v>
      </c>
      <c r="G97" s="10">
        <f t="shared" si="10"/>
        <v>4.4666666666666668</v>
      </c>
      <c r="H97" s="11">
        <f t="shared" si="11"/>
        <v>31.266666666666666</v>
      </c>
    </row>
    <row r="98" spans="1:8">
      <c r="A98" s="6">
        <v>96</v>
      </c>
      <c r="B98" s="8">
        <v>3104953</v>
      </c>
      <c r="C98" s="2" t="s">
        <v>95</v>
      </c>
      <c r="D98" s="9">
        <v>15694</v>
      </c>
      <c r="E98" s="9">
        <v>16048</v>
      </c>
      <c r="F98" s="9">
        <f t="shared" si="9"/>
        <v>354</v>
      </c>
      <c r="G98" s="10">
        <f t="shared" si="10"/>
        <v>11.8</v>
      </c>
      <c r="H98" s="11">
        <f t="shared" si="11"/>
        <v>82.600000000000009</v>
      </c>
    </row>
    <row r="99" spans="1:8">
      <c r="A99" s="6">
        <v>97</v>
      </c>
      <c r="B99" s="8">
        <v>3104954</v>
      </c>
      <c r="C99" s="2" t="s">
        <v>96</v>
      </c>
      <c r="D99" s="9">
        <v>8202</v>
      </c>
      <c r="E99" s="9">
        <v>8220</v>
      </c>
      <c r="F99" s="9">
        <f t="shared" si="9"/>
        <v>18</v>
      </c>
      <c r="G99" s="10">
        <f t="shared" si="10"/>
        <v>0.6</v>
      </c>
      <c r="H99" s="11">
        <f t="shared" si="11"/>
        <v>4.2</v>
      </c>
    </row>
    <row r="100" spans="1:8">
      <c r="A100" s="6">
        <v>98</v>
      </c>
      <c r="B100" s="8">
        <v>3104955</v>
      </c>
      <c r="C100" s="2" t="s">
        <v>97</v>
      </c>
      <c r="D100" s="9">
        <v>8661</v>
      </c>
      <c r="E100" s="9">
        <v>8851</v>
      </c>
      <c r="F100" s="9">
        <f t="shared" si="9"/>
        <v>190</v>
      </c>
      <c r="G100" s="10">
        <f t="shared" si="10"/>
        <v>6.333333333333333</v>
      </c>
      <c r="H100" s="11">
        <f t="shared" si="11"/>
        <v>44.333333333333329</v>
      </c>
    </row>
    <row r="101" spans="1:8">
      <c r="A101" s="6">
        <v>99</v>
      </c>
      <c r="B101" s="8">
        <v>3104956</v>
      </c>
      <c r="C101" s="2" t="s">
        <v>98</v>
      </c>
      <c r="D101" s="9">
        <v>5905</v>
      </c>
      <c r="E101" s="9">
        <v>5978</v>
      </c>
      <c r="F101" s="9">
        <f t="shared" si="9"/>
        <v>73</v>
      </c>
      <c r="G101" s="10">
        <f t="shared" si="10"/>
        <v>2.4333333333333331</v>
      </c>
      <c r="H101" s="11">
        <f t="shared" si="11"/>
        <v>17.033333333333331</v>
      </c>
    </row>
    <row r="102" spans="1:8">
      <c r="A102" s="6">
        <v>100</v>
      </c>
      <c r="B102" s="8">
        <v>3104957</v>
      </c>
      <c r="C102" s="2" t="s">
        <v>99</v>
      </c>
      <c r="D102" s="9">
        <v>2773</v>
      </c>
      <c r="E102" s="9">
        <v>2829</v>
      </c>
      <c r="F102" s="9">
        <f t="shared" si="9"/>
        <v>56</v>
      </c>
      <c r="G102" s="10">
        <f t="shared" si="10"/>
        <v>1.8666666666666667</v>
      </c>
      <c r="H102" s="11">
        <f t="shared" si="11"/>
        <v>13.066666666666666</v>
      </c>
    </row>
    <row r="103" spans="1:8">
      <c r="A103" s="21" t="s">
        <v>108</v>
      </c>
      <c r="B103" s="22"/>
      <c r="C103" s="23"/>
      <c r="D103" s="24">
        <f>SUM(D3:D102)</f>
        <v>965099</v>
      </c>
      <c r="E103" s="24">
        <f>SUM(E3:E102)</f>
        <v>978386</v>
      </c>
      <c r="F103" s="24">
        <f>SUM(F3:F102)</f>
        <v>13287</v>
      </c>
      <c r="G103" s="25">
        <f t="shared" si="10"/>
        <v>442.9</v>
      </c>
      <c r="H103" s="26">
        <f t="shared" si="11"/>
        <v>3100.2999999999997</v>
      </c>
    </row>
  </sheetData>
  <mergeCells count="6">
    <mergeCell ref="A103:C103"/>
    <mergeCell ref="D1:E1"/>
    <mergeCell ref="F1:H1"/>
    <mergeCell ref="A1:A2"/>
    <mergeCell ref="B1:B2"/>
    <mergeCell ref="C1:C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2026-07-25T06:24:18Z</dcterms:modified>
</cp:coreProperties>
</file>